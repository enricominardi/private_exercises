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w-my.sharepoint.com/personal/enrico_minardi_deutschebahn_com/Documents/Desktop/"/>
    </mc:Choice>
  </mc:AlternateContent>
  <xr:revisionPtr revIDLastSave="0" documentId="8_{04172436-B18F-49F8-873A-029F7D8477B8}" xr6:coauthVersionLast="47" xr6:coauthVersionMax="47" xr10:uidLastSave="{00000000-0000-0000-0000-000000000000}"/>
  <bookViews>
    <workbookView xWindow="-9620" yWindow="-21710" windowWidth="38620" windowHeight="21100" xr2:uid="{1AD821A7-D450-4111-A3D6-D0AE4BB1530E}"/>
  </bookViews>
  <sheets>
    <sheet name="EntwicklungG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B6" i="1"/>
  <c r="B5" i="1"/>
  <c r="B4" i="1"/>
  <c r="C4" i="1"/>
  <c r="B3" i="1"/>
  <c r="C3" i="1"/>
  <c r="D5" i="1"/>
  <c r="D4" i="1"/>
  <c r="D3" i="1"/>
  <c r="A4" i="1"/>
  <c r="A5" i="1" s="1"/>
  <c r="A6" i="1" s="1"/>
  <c r="A3" i="1"/>
  <c r="D6" i="1" l="1"/>
</calcChain>
</file>

<file path=xl/sharedStrings.xml><?xml version="1.0" encoding="utf-8"?>
<sst xmlns="http://schemas.openxmlformats.org/spreadsheetml/2006/main" count="4" uniqueCount="4">
  <si>
    <t>Jahr</t>
  </si>
  <si>
    <t>Züge</t>
  </si>
  <si>
    <t>Tonnen</t>
  </si>
  <si>
    <t>Umsatz (K€)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</si>
</sst>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Standard" xfId="0" builtinId="0"/>
  </cellStyles>
  <dxfs count="4">
    <dxf>
      <numFmt numFmtId="2" formatCode="0.00"/>
    </dxf>
    <dxf>
      <numFmt numFmtId="1" formatCode="0"/>
    </dxf>
    <dxf>
      <numFmt numFmtId="164" formatCode="#,##0.00\ &quot;€&quot;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ED637-9EA4-421A-AE4B-326C35FF70C6}" name="Tabelle1" displayName="Tabelle1" ref="A1:D6" totalsRowShown="0" headerRowDxfId="3">
  <autoFilter ref="A1:D6" xr:uid="{8AFED637-9EA4-421A-AE4B-326C35FF70C6}"/>
  <tableColumns count="4">
    <tableColumn id="1" xr3:uid="{97EA13D8-C293-4BF2-BEF4-1FABC3687345}" name="Jahr">
      <calculatedColumnFormula>A1+1</calculatedColumnFormula>
    </tableColumn>
    <tableColumn id="2" xr3:uid="{CAED226E-0E09-4976-B6D4-9D32A928EC3C}" name="Tonnen" dataDxfId="0"/>
    <tableColumn id="3" xr3:uid="{CD6B9FEF-F508-48D5-B697-F467363A3208}" name="Züge" dataDxfId="1"/>
    <tableColumn id="4" xr3:uid="{89BB3BCC-FF40-4974-A1F6-8229C59300F6}" name="Umsatz (K€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1E79-F970-4A1B-A331-370C6C17A9E8}">
  <dimension ref="A1:D6"/>
  <sheetViews>
    <sheetView tabSelected="1" workbookViewId="0">
      <selection activeCell="F10" sqref="F10"/>
    </sheetView>
  </sheetViews>
  <sheetFormatPr baseColWidth="10" defaultRowHeight="14.5" x14ac:dyDescent="0.35"/>
  <cols>
    <col min="2" max="2" width="11.36328125" style="5" bestFit="1" customWidth="1"/>
    <col min="3" max="3" width="10.90625" style="7"/>
    <col min="4" max="4" width="12.81640625" style="3" customWidth="1"/>
  </cols>
  <sheetData>
    <row r="1" spans="1:4" s="1" customFormat="1" x14ac:dyDescent="0.35">
      <c r="A1" s="1" t="s">
        <v>0</v>
      </c>
      <c r="B1" s="4" t="s">
        <v>2</v>
      </c>
      <c r="C1" s="6" t="s">
        <v>1</v>
      </c>
      <c r="D1" s="2" t="s">
        <v>3</v>
      </c>
    </row>
    <row r="2" spans="1:4" x14ac:dyDescent="0.35">
      <c r="A2">
        <v>2020</v>
      </c>
      <c r="B2" s="5">
        <v>3498573.01</v>
      </c>
      <c r="C2" s="7">
        <v>386</v>
      </c>
      <c r="D2" s="3">
        <v>134003</v>
      </c>
    </row>
    <row r="3" spans="1:4" x14ac:dyDescent="0.35">
      <c r="A3">
        <f>A2+1</f>
        <v>2021</v>
      </c>
      <c r="B3" s="5">
        <f>B2*1.05</f>
        <v>3673501.6604999998</v>
      </c>
      <c r="C3" s="7">
        <f>C2*1.02</f>
        <v>393.72</v>
      </c>
      <c r="D3" s="3">
        <f>D2*1.02</f>
        <v>136683.06</v>
      </c>
    </row>
    <row r="4" spans="1:4" x14ac:dyDescent="0.35">
      <c r="A4">
        <f t="shared" ref="A4:A6" si="0">A3+1</f>
        <v>2022</v>
      </c>
      <c r="B4" s="5">
        <f t="shared" ref="B4:C4" si="1">B3*0.98</f>
        <v>3600031.6272899997</v>
      </c>
      <c r="C4" s="7">
        <f t="shared" si="1"/>
        <v>385.84560000000005</v>
      </c>
      <c r="D4" s="3">
        <f>D3*0.98</f>
        <v>133949.3988</v>
      </c>
    </row>
    <row r="5" spans="1:4" x14ac:dyDescent="0.35">
      <c r="A5">
        <f t="shared" si="0"/>
        <v>2023</v>
      </c>
      <c r="B5" s="5">
        <f t="shared" ref="B5:C5" si="2">B4*1.2</f>
        <v>4320037.9527479997</v>
      </c>
      <c r="C5" s="7">
        <f>C4*0.98</f>
        <v>378.12868800000001</v>
      </c>
      <c r="D5" s="3">
        <f>D4*1.2</f>
        <v>160739.27855999998</v>
      </c>
    </row>
    <row r="6" spans="1:4" x14ac:dyDescent="0.35">
      <c r="A6">
        <f t="shared" si="0"/>
        <v>2024</v>
      </c>
      <c r="B6" s="5">
        <f t="shared" ref="B6" si="3">B5*1.02</f>
        <v>4406438.7118029594</v>
      </c>
      <c r="C6" s="7">
        <f>C5*0.98</f>
        <v>370.56611423999999</v>
      </c>
      <c r="D6" s="3">
        <f t="shared" ref="D4:D6" si="4">D5*1.02</f>
        <v>163954.06413119999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A29BB6-F49E-45CB-AACD-4EA06E619C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EntwicklungGV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Minardi</dc:creator>
  <cp:lastModifiedBy>Enrico Minardi</cp:lastModifiedBy>
  <dcterms:created xsi:type="dcterms:W3CDTF">2025-09-18T06:43:23Z</dcterms:created>
  <dcterms:modified xsi:type="dcterms:W3CDTF">2025-09-18T06:51:42Z</dcterms:modified>
</cp:coreProperties>
</file>